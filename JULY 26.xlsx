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-Shaiba Tower B 2026\"/>
    </mc:Choice>
  </mc:AlternateContent>
  <xr:revisionPtr revIDLastSave="0" documentId="13_ncr:1_{3AF4AB71-68C1-4B0D-9BC7-573109F6208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607" sheetId="1" r:id="rId1"/>
    <sheet name="1115" sheetId="2" r:id="rId2"/>
    <sheet name="1215" sheetId="3" r:id="rId3"/>
    <sheet name="1705" sheetId="4" r:id="rId4"/>
    <sheet name="1708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4" l="1"/>
  <c r="E2" i="3"/>
  <c r="C40" i="2"/>
  <c r="E3" i="2" s="1"/>
  <c r="C44" i="1"/>
  <c r="E2" i="1" s="1"/>
  <c r="F21" i="5" l="1"/>
  <c r="E3" i="5" s="1"/>
  <c r="F26" i="4"/>
  <c r="E3" i="4" s="1"/>
  <c r="F17" i="3"/>
  <c r="E3" i="3" s="1"/>
  <c r="F23" i="2"/>
  <c r="E4" i="2" s="1"/>
  <c r="F21" i="1"/>
  <c r="F23" i="1" s="1"/>
  <c r="E3" i="1" s="1"/>
</calcChain>
</file>

<file path=xl/sharedStrings.xml><?xml version="1.0" encoding="utf-8"?>
<sst xmlns="http://schemas.openxmlformats.org/spreadsheetml/2006/main" count="244" uniqueCount="115">
  <si>
    <t>BULIDING NAME</t>
  </si>
  <si>
    <t>Flat NO. (607)</t>
  </si>
  <si>
    <t>Al-Shaiba Tower B</t>
  </si>
  <si>
    <t>Pertition No.</t>
  </si>
  <si>
    <t>CUSTOMER NAME</t>
  </si>
  <si>
    <t>MOBILE NO.</t>
  </si>
  <si>
    <t>NATIONALITY</t>
  </si>
  <si>
    <t>ADVANCE</t>
  </si>
  <si>
    <t>RENT</t>
  </si>
  <si>
    <t>CHEK IN DATE</t>
  </si>
  <si>
    <t>CHEK OUT DATE</t>
  </si>
  <si>
    <t>REMARK</t>
  </si>
  <si>
    <t>10C</t>
  </si>
  <si>
    <t>11C</t>
  </si>
  <si>
    <t>12C</t>
  </si>
  <si>
    <t>13C</t>
  </si>
  <si>
    <t>14C</t>
  </si>
  <si>
    <t>TOTAL=</t>
  </si>
  <si>
    <t>Nijam</t>
  </si>
  <si>
    <t>Flat NO. (1115)</t>
  </si>
  <si>
    <t xml:space="preserve">DUE </t>
  </si>
  <si>
    <t>1 L</t>
  </si>
  <si>
    <t>2 L</t>
  </si>
  <si>
    <t>3 L</t>
  </si>
  <si>
    <t>4 L</t>
  </si>
  <si>
    <t>5 L</t>
  </si>
  <si>
    <t>6 L</t>
  </si>
  <si>
    <t>7 S</t>
  </si>
  <si>
    <t>8 S</t>
  </si>
  <si>
    <t>9 S</t>
  </si>
  <si>
    <t>10 S</t>
  </si>
  <si>
    <t>11 C</t>
  </si>
  <si>
    <t>12 C</t>
  </si>
  <si>
    <t>13 C</t>
  </si>
  <si>
    <t>14 C</t>
  </si>
  <si>
    <t>15 C</t>
  </si>
  <si>
    <t>Flat NO. (1215)</t>
  </si>
  <si>
    <t>DUE</t>
  </si>
  <si>
    <t>Flat NO. (1705)</t>
  </si>
  <si>
    <t>7 L</t>
  </si>
  <si>
    <t>11 L</t>
  </si>
  <si>
    <t>12 L</t>
  </si>
  <si>
    <t>13 L</t>
  </si>
  <si>
    <t>14 L</t>
  </si>
  <si>
    <t xml:space="preserve">15 L </t>
  </si>
  <si>
    <t>16 C</t>
  </si>
  <si>
    <t>17 C</t>
  </si>
  <si>
    <t>18 C</t>
  </si>
  <si>
    <t>19 C</t>
  </si>
  <si>
    <t>Flat NO. (1708)</t>
  </si>
  <si>
    <t>STAFF</t>
  </si>
  <si>
    <t>MONTH OF</t>
  </si>
  <si>
    <t>10 L</t>
  </si>
  <si>
    <t>pakistani</t>
  </si>
  <si>
    <t>omar iqbal</t>
  </si>
  <si>
    <t>abbas hossan</t>
  </si>
  <si>
    <t>kaiser</t>
  </si>
  <si>
    <t>mt</t>
  </si>
  <si>
    <t>EXPENCE  PAYMENT</t>
  </si>
  <si>
    <t>NAME</t>
  </si>
  <si>
    <t>FLAT NO.</t>
  </si>
  <si>
    <t>ALL EXPENCE</t>
  </si>
  <si>
    <t>MONIR HOSSAIN</t>
  </si>
  <si>
    <t>INTER NET BILL</t>
  </si>
  <si>
    <t>SPRAY</t>
  </si>
  <si>
    <t>DUBIZZAL</t>
  </si>
  <si>
    <t>ACCESS CARD</t>
  </si>
  <si>
    <t xml:space="preserve">EXPENCE  </t>
  </si>
  <si>
    <t>EXPENCE</t>
  </si>
  <si>
    <t>SHOWER HEAD</t>
  </si>
  <si>
    <t xml:space="preserve">COLOROX </t>
  </si>
  <si>
    <t>WALL SHEET-1 p.</t>
  </si>
  <si>
    <t>TOTAL EXP.</t>
  </si>
  <si>
    <t>T.COLLECTION</t>
  </si>
  <si>
    <t>NAFIZ</t>
  </si>
  <si>
    <t>rent for june</t>
  </si>
  <si>
    <t>01.07.2026</t>
  </si>
  <si>
    <t>new</t>
  </si>
  <si>
    <t>1.07.2026</t>
  </si>
  <si>
    <t>rent 1000 brocker 10%</t>
  </si>
  <si>
    <t>new brocker 10%</t>
  </si>
  <si>
    <t>new 600 rented brocker 10%</t>
  </si>
  <si>
    <t>28.06.2026</t>
  </si>
  <si>
    <t>01.7.2026</t>
  </si>
  <si>
    <t>brocker 10%</t>
  </si>
  <si>
    <t>no dweposit</t>
  </si>
  <si>
    <t>25 to 25</t>
  </si>
  <si>
    <t>bank</t>
  </si>
  <si>
    <t>come from 3</t>
  </si>
  <si>
    <t>800 june due come from 7</t>
  </si>
  <si>
    <t>SALARY JUNE</t>
  </si>
  <si>
    <t>FOOD</t>
  </si>
  <si>
    <t>no deposit</t>
  </si>
  <si>
    <t>deposit add to rent adj.</t>
  </si>
  <si>
    <t>2.7.26</t>
  </si>
  <si>
    <t>viva</t>
  </si>
  <si>
    <t>900 bank</t>
  </si>
  <si>
    <t>10.7.26</t>
  </si>
  <si>
    <t>01.7.26</t>
  </si>
  <si>
    <t>607 he was come to 1115</t>
  </si>
  <si>
    <t>vacation</t>
  </si>
  <si>
    <t>for 18 days</t>
  </si>
  <si>
    <t>SEWA BILL</t>
  </si>
  <si>
    <t>SALARY</t>
  </si>
  <si>
    <t xml:space="preserve">bank </t>
  </si>
  <si>
    <t>FAN</t>
  </si>
  <si>
    <t>INTERNET COLLECTION</t>
  </si>
  <si>
    <t>COCKRACHE</t>
  </si>
  <si>
    <t>26.07.2026</t>
  </si>
  <si>
    <t>move to 1</t>
  </si>
  <si>
    <t>100 returned  3.8.26</t>
  </si>
  <si>
    <t>brocker 150</t>
  </si>
  <si>
    <t>1215-10</t>
  </si>
  <si>
    <t>1708-4/8/9</t>
  </si>
  <si>
    <t>BEOCKER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</si>
</sst>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7" fontId="0" fillId="2" borderId="0" xfId="0" applyNumberForma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/>
    <xf numFmtId="0" fontId="7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0" fillId="4" borderId="2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right"/>
    </xf>
    <xf numFmtId="0" fontId="8" fillId="6" borderId="0" xfId="0" applyFont="1" applyFill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1" xfId="0" applyFont="1" applyFill="1" applyBorder="1"/>
    <xf numFmtId="0" fontId="0" fillId="11" borderId="1" xfId="0" applyFill="1" applyBorder="1"/>
    <xf numFmtId="0" fontId="0" fillId="8" borderId="1" xfId="0" applyFill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1" xfId="0" applyFont="1" applyBorder="1"/>
    <xf numFmtId="0" fontId="0" fillId="5" borderId="1" xfId="0" applyFill="1" applyBorder="1" applyAlignment="1">
      <alignment horizontal="center"/>
    </xf>
    <xf numFmtId="0" fontId="10" fillId="6" borderId="0" xfId="0" applyFont="1" applyFill="1"/>
    <xf numFmtId="0" fontId="0" fillId="0" borderId="0" xfId="0" applyFill="1"/>
    <xf numFmtId="0" fontId="0" fillId="5" borderId="2" xfId="0" applyFill="1" applyBorder="1"/>
    <xf numFmtId="0" fontId="2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3" xfId="0" applyFill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4"/>
  <sheetViews>
    <sheetView topLeftCell="A26" workbookViewId="0">
      <selection activeCell="A43" sqref="A43"/>
    </sheetView>
  </sheetViews>
  <sheetFormatPr defaultRowHeight="14.5" x14ac:dyDescent="0.35"/>
  <cols>
    <col min="1" max="1" width="15.81640625" bestFit="1" customWidth="1"/>
    <col min="2" max="2" width="17.7265625" bestFit="1" customWidth="1"/>
    <col min="3" max="3" width="11.81640625" bestFit="1" customWidth="1"/>
    <col min="4" max="4" width="14.54296875" bestFit="1" customWidth="1"/>
    <col min="5" max="5" width="9.81640625" bestFit="1" customWidth="1"/>
    <col min="8" max="8" width="13.54296875" bestFit="1" customWidth="1"/>
    <col min="9" max="9" width="15.54296875" style="4" bestFit="1" customWidth="1"/>
    <col min="13" max="13" width="11.26953125" customWidth="1"/>
  </cols>
  <sheetData>
    <row r="2" spans="1:10" x14ac:dyDescent="0.35">
      <c r="D2" s="37" t="s">
        <v>72</v>
      </c>
      <c r="E2" s="37">
        <f>+C44</f>
        <v>9739</v>
      </c>
    </row>
    <row r="3" spans="1:10" x14ac:dyDescent="0.35">
      <c r="D3" s="37" t="s">
        <v>73</v>
      </c>
      <c r="E3" s="37">
        <f>+F23</f>
        <v>14390</v>
      </c>
    </row>
    <row r="4" spans="1:10" ht="15.5" x14ac:dyDescent="0.35">
      <c r="B4" s="1" t="s">
        <v>0</v>
      </c>
      <c r="C4" s="1" t="s">
        <v>51</v>
      </c>
      <c r="D4" s="2"/>
      <c r="E4" s="3"/>
      <c r="G4" s="4"/>
    </row>
    <row r="5" spans="1:10" x14ac:dyDescent="0.35">
      <c r="A5" s="5" t="s">
        <v>1</v>
      </c>
      <c r="B5" s="1" t="s">
        <v>2</v>
      </c>
      <c r="C5" s="6">
        <v>46204</v>
      </c>
      <c r="D5" s="7"/>
      <c r="G5" s="4"/>
    </row>
    <row r="6" spans="1:10" ht="15.5" x14ac:dyDescent="0.3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37</v>
      </c>
      <c r="H6" s="9" t="s">
        <v>9</v>
      </c>
      <c r="I6" s="9" t="s">
        <v>10</v>
      </c>
      <c r="J6" s="9" t="s">
        <v>11</v>
      </c>
    </row>
    <row r="7" spans="1:10" x14ac:dyDescent="0.35">
      <c r="A7" s="10">
        <v>1</v>
      </c>
      <c r="B7" s="11"/>
      <c r="C7" s="11"/>
      <c r="D7" s="11"/>
      <c r="E7" s="11"/>
      <c r="F7" s="11">
        <v>1000</v>
      </c>
      <c r="G7" s="10"/>
      <c r="H7" s="11"/>
      <c r="I7" s="38"/>
      <c r="J7" s="12"/>
    </row>
    <row r="8" spans="1:10" x14ac:dyDescent="0.35">
      <c r="A8" s="10">
        <v>2</v>
      </c>
      <c r="B8" s="11"/>
      <c r="C8" s="11"/>
      <c r="D8" s="11"/>
      <c r="E8" s="11"/>
      <c r="F8" s="11">
        <v>1000</v>
      </c>
      <c r="G8" s="10"/>
      <c r="H8" s="11"/>
      <c r="I8" s="38"/>
      <c r="J8" s="12"/>
    </row>
    <row r="9" spans="1:10" x14ac:dyDescent="0.35">
      <c r="A9" s="10">
        <v>3</v>
      </c>
      <c r="B9" s="11"/>
      <c r="C9" s="11"/>
      <c r="D9" s="11"/>
      <c r="E9" s="11"/>
      <c r="F9" s="11">
        <v>1600</v>
      </c>
      <c r="G9" s="10">
        <v>50</v>
      </c>
      <c r="H9" s="11"/>
      <c r="I9" s="38"/>
      <c r="J9" s="12"/>
    </row>
    <row r="10" spans="1:10" x14ac:dyDescent="0.35">
      <c r="A10" s="10">
        <v>4</v>
      </c>
      <c r="B10" s="11"/>
      <c r="C10" s="11"/>
      <c r="D10" s="11"/>
      <c r="E10" s="11"/>
      <c r="F10" s="11">
        <v>1400</v>
      </c>
      <c r="G10" s="10"/>
      <c r="H10" s="11"/>
      <c r="I10" s="38"/>
      <c r="J10" s="12"/>
    </row>
    <row r="11" spans="1:10" x14ac:dyDescent="0.35">
      <c r="A11" s="10">
        <v>5</v>
      </c>
      <c r="B11" s="11"/>
      <c r="C11" s="11"/>
      <c r="D11" s="11"/>
      <c r="E11" s="11"/>
      <c r="F11" s="11"/>
      <c r="G11" s="10"/>
      <c r="H11" s="11"/>
      <c r="I11" s="38"/>
      <c r="J11" s="12"/>
    </row>
    <row r="12" spans="1:10" x14ac:dyDescent="0.35">
      <c r="A12" s="10">
        <v>6</v>
      </c>
      <c r="B12" s="11"/>
      <c r="C12" s="11"/>
      <c r="D12" s="11"/>
      <c r="E12" s="11"/>
      <c r="F12" s="11">
        <v>1600</v>
      </c>
      <c r="G12" s="10"/>
      <c r="H12" s="11"/>
      <c r="I12" s="38"/>
      <c r="J12" s="12"/>
    </row>
    <row r="13" spans="1:10" x14ac:dyDescent="0.35">
      <c r="A13" s="10">
        <v>7</v>
      </c>
      <c r="B13" s="11"/>
      <c r="C13" s="11"/>
      <c r="D13" s="11"/>
      <c r="E13" s="11"/>
      <c r="F13" s="11">
        <v>1500</v>
      </c>
      <c r="G13" s="10"/>
      <c r="H13" s="11"/>
      <c r="I13" s="38"/>
      <c r="J13" s="12"/>
    </row>
    <row r="14" spans="1:10" x14ac:dyDescent="0.35">
      <c r="A14" s="10">
        <v>8</v>
      </c>
      <c r="B14" s="11"/>
      <c r="C14" s="11"/>
      <c r="D14" s="11"/>
      <c r="E14" s="11">
        <v>300</v>
      </c>
      <c r="F14" s="11">
        <v>1600</v>
      </c>
      <c r="G14" s="10"/>
      <c r="H14" s="11" t="s">
        <v>97</v>
      </c>
      <c r="I14" s="38"/>
      <c r="J14" s="12" t="s">
        <v>101</v>
      </c>
    </row>
    <row r="15" spans="1:10" x14ac:dyDescent="0.35">
      <c r="A15" s="10">
        <v>9</v>
      </c>
      <c r="B15" s="11"/>
      <c r="C15" s="11"/>
      <c r="D15" s="11"/>
      <c r="E15" s="11"/>
      <c r="F15" s="11">
        <v>1600</v>
      </c>
      <c r="G15" s="10"/>
      <c r="H15" s="11"/>
      <c r="I15" s="38"/>
      <c r="J15" s="12"/>
    </row>
    <row r="16" spans="1:10" x14ac:dyDescent="0.35">
      <c r="A16" s="10" t="s">
        <v>12</v>
      </c>
      <c r="B16" s="11"/>
      <c r="C16" s="11"/>
      <c r="D16" s="11"/>
      <c r="E16" s="11">
        <v>300</v>
      </c>
      <c r="F16" s="11">
        <v>700</v>
      </c>
      <c r="G16" s="10"/>
      <c r="H16" s="11" t="s">
        <v>77</v>
      </c>
      <c r="I16" s="38"/>
      <c r="J16" s="13"/>
    </row>
    <row r="17" spans="1:10" x14ac:dyDescent="0.35">
      <c r="A17" s="10" t="s">
        <v>13</v>
      </c>
      <c r="B17" s="11"/>
      <c r="C17" s="11"/>
      <c r="D17" s="11"/>
      <c r="E17" s="11"/>
      <c r="F17" s="11"/>
      <c r="G17" s="10"/>
      <c r="H17" s="11"/>
      <c r="I17" s="38"/>
      <c r="J17" s="12"/>
    </row>
    <row r="18" spans="1:10" x14ac:dyDescent="0.35">
      <c r="A18" s="10" t="s">
        <v>14</v>
      </c>
      <c r="B18" s="11"/>
      <c r="C18" s="11"/>
      <c r="D18" s="11"/>
      <c r="E18" s="11">
        <v>300</v>
      </c>
      <c r="F18" s="11">
        <v>700</v>
      </c>
      <c r="G18" s="10"/>
      <c r="H18" s="11" t="s">
        <v>76</v>
      </c>
      <c r="I18" s="38"/>
      <c r="J18" s="12"/>
    </row>
    <row r="19" spans="1:10" x14ac:dyDescent="0.35">
      <c r="A19" s="10" t="s">
        <v>15</v>
      </c>
      <c r="B19" s="11"/>
      <c r="C19" s="11"/>
      <c r="D19" s="11"/>
      <c r="E19" s="11"/>
      <c r="F19" s="11">
        <v>750</v>
      </c>
      <c r="G19" s="10"/>
      <c r="H19" s="11"/>
      <c r="I19" s="38"/>
      <c r="J19" s="12"/>
    </row>
    <row r="20" spans="1:10" x14ac:dyDescent="0.35">
      <c r="A20" s="10" t="s">
        <v>16</v>
      </c>
      <c r="B20" s="11"/>
      <c r="C20" s="11"/>
      <c r="D20" s="11"/>
      <c r="E20" s="11"/>
      <c r="F20" s="12">
        <v>800</v>
      </c>
      <c r="G20" s="10"/>
      <c r="H20" s="11"/>
      <c r="I20" s="38"/>
      <c r="J20" s="12"/>
    </row>
    <row r="21" spans="1:10" ht="18.5" x14ac:dyDescent="0.45">
      <c r="A21" s="14"/>
      <c r="B21" s="15"/>
      <c r="C21" s="15"/>
      <c r="D21" s="15"/>
      <c r="E21" s="16" t="s">
        <v>17</v>
      </c>
      <c r="F21" s="17">
        <f>SUM(F7:F20)</f>
        <v>14250</v>
      </c>
      <c r="G21" s="10"/>
      <c r="H21" s="11"/>
      <c r="I21" s="38"/>
      <c r="J21" s="12"/>
    </row>
    <row r="22" spans="1:10" x14ac:dyDescent="0.35">
      <c r="D22" t="s">
        <v>106</v>
      </c>
      <c r="F22" s="44">
        <v>140</v>
      </c>
    </row>
    <row r="23" spans="1:10" ht="18.5" x14ac:dyDescent="0.45">
      <c r="B23" s="21">
        <v>46204</v>
      </c>
      <c r="E23" s="16" t="s">
        <v>17</v>
      </c>
      <c r="F23">
        <f>SUM(F21:F22)</f>
        <v>14390</v>
      </c>
    </row>
    <row r="24" spans="1:10" x14ac:dyDescent="0.35">
      <c r="B24" s="39" t="s">
        <v>58</v>
      </c>
    </row>
    <row r="26" spans="1:10" x14ac:dyDescent="0.35">
      <c r="A26" s="25" t="s">
        <v>59</v>
      </c>
      <c r="B26" s="25" t="s">
        <v>60</v>
      </c>
      <c r="C26" s="26" t="s">
        <v>61</v>
      </c>
    </row>
    <row r="27" spans="1:10" x14ac:dyDescent="0.35">
      <c r="A27" s="27" t="s">
        <v>62</v>
      </c>
      <c r="B27" s="35" t="s">
        <v>90</v>
      </c>
      <c r="C27" s="29">
        <v>1600</v>
      </c>
    </row>
    <row r="28" spans="1:10" x14ac:dyDescent="0.35">
      <c r="A28" s="27" t="s">
        <v>74</v>
      </c>
      <c r="B28" s="35" t="s">
        <v>90</v>
      </c>
      <c r="C28" s="29">
        <v>600</v>
      </c>
    </row>
    <row r="29" spans="1:10" x14ac:dyDescent="0.35">
      <c r="A29" s="27" t="s">
        <v>74</v>
      </c>
      <c r="B29" s="35" t="s">
        <v>91</v>
      </c>
      <c r="C29" s="29">
        <v>120</v>
      </c>
    </row>
    <row r="30" spans="1:10" x14ac:dyDescent="0.35">
      <c r="A30" s="27" t="s">
        <v>63</v>
      </c>
      <c r="B30" s="35"/>
      <c r="C30" s="29">
        <v>549</v>
      </c>
    </row>
    <row r="31" spans="1:10" x14ac:dyDescent="0.35">
      <c r="A31" s="27" t="s">
        <v>102</v>
      </c>
      <c r="B31" s="35">
        <v>607</v>
      </c>
      <c r="C31" s="29">
        <v>1472</v>
      </c>
    </row>
    <row r="32" spans="1:10" x14ac:dyDescent="0.35">
      <c r="A32" s="27" t="s">
        <v>102</v>
      </c>
      <c r="B32" s="35">
        <v>1215</v>
      </c>
      <c r="C32" s="29">
        <v>1206</v>
      </c>
    </row>
    <row r="33" spans="1:3" x14ac:dyDescent="0.35">
      <c r="A33" s="27" t="s">
        <v>102</v>
      </c>
      <c r="B33" s="35">
        <v>1705</v>
      </c>
      <c r="C33" s="29">
        <v>1678</v>
      </c>
    </row>
    <row r="34" spans="1:3" x14ac:dyDescent="0.35">
      <c r="A34" s="27" t="s">
        <v>102</v>
      </c>
      <c r="B34" s="35">
        <v>1708</v>
      </c>
      <c r="C34" s="29">
        <v>1178</v>
      </c>
    </row>
    <row r="35" spans="1:3" x14ac:dyDescent="0.35">
      <c r="A35" s="27" t="s">
        <v>64</v>
      </c>
      <c r="B35" s="35" t="s">
        <v>95</v>
      </c>
      <c r="C35" s="29">
        <v>33</v>
      </c>
    </row>
    <row r="36" spans="1:3" x14ac:dyDescent="0.35">
      <c r="A36" s="27" t="s">
        <v>105</v>
      </c>
      <c r="B36" s="35"/>
      <c r="C36" s="29">
        <v>30</v>
      </c>
    </row>
    <row r="37" spans="1:3" x14ac:dyDescent="0.35">
      <c r="A37" s="27" t="s">
        <v>65</v>
      </c>
      <c r="B37" s="35" t="s">
        <v>94</v>
      </c>
      <c r="C37" s="29">
        <v>524</v>
      </c>
    </row>
    <row r="38" spans="1:3" x14ac:dyDescent="0.35">
      <c r="A38" s="27" t="s">
        <v>107</v>
      </c>
      <c r="B38" s="35" t="s">
        <v>64</v>
      </c>
      <c r="C38" s="29">
        <v>30</v>
      </c>
    </row>
    <row r="39" spans="1:3" x14ac:dyDescent="0.35">
      <c r="A39" s="27" t="s">
        <v>65</v>
      </c>
      <c r="B39" s="35" t="s">
        <v>108</v>
      </c>
      <c r="C39" s="29">
        <v>209</v>
      </c>
    </row>
    <row r="40" spans="1:3" x14ac:dyDescent="0.35">
      <c r="A40" s="27" t="s">
        <v>66</v>
      </c>
      <c r="B40" s="35"/>
      <c r="C40" s="29"/>
    </row>
    <row r="41" spans="1:3" x14ac:dyDescent="0.35">
      <c r="A41" s="27" t="s">
        <v>114</v>
      </c>
      <c r="B41" s="35" t="s">
        <v>112</v>
      </c>
      <c r="C41" s="29">
        <v>140</v>
      </c>
    </row>
    <row r="42" spans="1:3" x14ac:dyDescent="0.35">
      <c r="A42" s="27" t="s">
        <v>114</v>
      </c>
      <c r="B42" s="35" t="s">
        <v>113</v>
      </c>
      <c r="C42" s="29">
        <v>370</v>
      </c>
    </row>
    <row r="43" spans="1:3" x14ac:dyDescent="0.35">
      <c r="A43" s="27" t="s">
        <v>114</v>
      </c>
      <c r="B43" s="35"/>
      <c r="C43" s="29"/>
    </row>
    <row r="44" spans="1:3" x14ac:dyDescent="0.35">
      <c r="B44" s="30"/>
      <c r="C44">
        <f>SUM(C27:C43)</f>
        <v>9739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40"/>
  <sheetViews>
    <sheetView tabSelected="1" topLeftCell="A14" workbookViewId="0">
      <selection activeCell="G22" sqref="G22"/>
    </sheetView>
  </sheetViews>
  <sheetFormatPr defaultRowHeight="14.5" x14ac:dyDescent="0.35"/>
  <cols>
    <col min="1" max="1" width="14.81640625" bestFit="1" customWidth="1"/>
    <col min="2" max="2" width="17.7265625" bestFit="1" customWidth="1"/>
    <col min="3" max="3" width="11.81640625" bestFit="1" customWidth="1"/>
    <col min="4" max="4" width="13.26953125" bestFit="1" customWidth="1"/>
    <col min="5" max="5" width="9.81640625" bestFit="1" customWidth="1"/>
    <col min="8" max="8" width="13.54296875" bestFit="1" customWidth="1"/>
    <col min="9" max="9" width="15.54296875" bestFit="1" customWidth="1"/>
  </cols>
  <sheetData>
    <row r="3" spans="1:11" x14ac:dyDescent="0.35">
      <c r="D3" s="37" t="s">
        <v>72</v>
      </c>
      <c r="E3" s="37">
        <f>+C40</f>
        <v>2362</v>
      </c>
    </row>
    <row r="4" spans="1:11" ht="18.5" x14ac:dyDescent="0.45">
      <c r="C4" s="18" t="s">
        <v>18</v>
      </c>
      <c r="D4" s="37" t="s">
        <v>73</v>
      </c>
      <c r="E4" s="37">
        <f>+F23</f>
        <v>14800</v>
      </c>
      <c r="G4" s="4"/>
    </row>
    <row r="5" spans="1:11" x14ac:dyDescent="0.35">
      <c r="B5" s="19" t="s">
        <v>0</v>
      </c>
      <c r="C5" s="19" t="s">
        <v>51</v>
      </c>
      <c r="D5" s="4"/>
      <c r="G5" s="4"/>
    </row>
    <row r="6" spans="1:11" x14ac:dyDescent="0.35">
      <c r="A6" s="5" t="s">
        <v>19</v>
      </c>
      <c r="B6" s="19" t="s">
        <v>2</v>
      </c>
      <c r="C6" s="20">
        <v>46204</v>
      </c>
      <c r="D6" s="21"/>
      <c r="G6" s="4"/>
    </row>
    <row r="7" spans="1:11" ht="15.5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20</v>
      </c>
      <c r="H7" s="9" t="s">
        <v>9</v>
      </c>
      <c r="I7" s="9" t="s">
        <v>10</v>
      </c>
      <c r="J7" s="9" t="s">
        <v>11</v>
      </c>
    </row>
    <row r="8" spans="1:11" x14ac:dyDescent="0.35">
      <c r="A8" s="10" t="s">
        <v>21</v>
      </c>
      <c r="B8" s="11"/>
      <c r="C8" s="11"/>
      <c r="D8" s="11"/>
      <c r="E8" s="11"/>
      <c r="F8" s="12">
        <v>1300</v>
      </c>
      <c r="G8" s="38"/>
      <c r="H8" s="11"/>
      <c r="I8" s="12"/>
      <c r="J8" s="12"/>
      <c r="K8" s="40"/>
    </row>
    <row r="9" spans="1:11" x14ac:dyDescent="0.35">
      <c r="A9" s="10" t="s">
        <v>22</v>
      </c>
      <c r="B9" s="11"/>
      <c r="C9" s="11"/>
      <c r="D9" s="11"/>
      <c r="E9" s="11"/>
      <c r="F9" s="11">
        <v>1200</v>
      </c>
      <c r="G9" s="10"/>
      <c r="H9" s="11"/>
      <c r="I9" s="12"/>
      <c r="J9" s="12"/>
      <c r="K9" s="40"/>
    </row>
    <row r="10" spans="1:11" x14ac:dyDescent="0.35">
      <c r="A10" s="10" t="s">
        <v>23</v>
      </c>
      <c r="B10" s="11"/>
      <c r="C10" s="11"/>
      <c r="D10" s="11"/>
      <c r="E10" s="11">
        <v>200</v>
      </c>
      <c r="F10" s="11">
        <v>1100</v>
      </c>
      <c r="G10" s="10" t="s">
        <v>77</v>
      </c>
      <c r="H10" s="11" t="s">
        <v>98</v>
      </c>
      <c r="I10" s="12"/>
      <c r="J10" s="12" t="s">
        <v>99</v>
      </c>
      <c r="K10" s="40"/>
    </row>
    <row r="11" spans="1:11" x14ac:dyDescent="0.35">
      <c r="A11" s="10" t="s">
        <v>24</v>
      </c>
      <c r="B11" s="11"/>
      <c r="C11" s="11"/>
      <c r="D11" s="11"/>
      <c r="E11" s="11" t="s">
        <v>57</v>
      </c>
      <c r="F11" s="11"/>
      <c r="G11" s="10"/>
      <c r="H11" s="11"/>
      <c r="I11" s="12"/>
      <c r="J11" s="12"/>
      <c r="K11" s="40"/>
    </row>
    <row r="12" spans="1:11" x14ac:dyDescent="0.35">
      <c r="A12" s="10" t="s">
        <v>25</v>
      </c>
      <c r="B12" s="11" t="s">
        <v>56</v>
      </c>
      <c r="C12" s="11"/>
      <c r="D12" s="11" t="s">
        <v>53</v>
      </c>
      <c r="E12" s="11"/>
      <c r="F12" s="11">
        <v>1500</v>
      </c>
      <c r="G12" s="10"/>
      <c r="H12" s="11"/>
      <c r="I12" s="12"/>
      <c r="J12" s="13"/>
      <c r="K12" s="40"/>
    </row>
    <row r="13" spans="1:11" x14ac:dyDescent="0.35">
      <c r="A13" s="10" t="s">
        <v>26</v>
      </c>
      <c r="B13" s="11"/>
      <c r="C13" s="11"/>
      <c r="D13" s="11"/>
      <c r="E13" s="11"/>
      <c r="F13" s="11">
        <v>1600</v>
      </c>
      <c r="G13" s="10"/>
      <c r="H13" s="11"/>
      <c r="I13" s="12"/>
      <c r="J13" s="12" t="s">
        <v>96</v>
      </c>
      <c r="K13" s="40"/>
    </row>
    <row r="14" spans="1:11" x14ac:dyDescent="0.35">
      <c r="A14" s="10" t="s">
        <v>27</v>
      </c>
      <c r="B14" s="11"/>
      <c r="C14" s="11"/>
      <c r="D14" s="11"/>
      <c r="E14" s="11"/>
      <c r="F14" s="11">
        <v>1350</v>
      </c>
      <c r="G14" s="10"/>
      <c r="H14" s="11"/>
      <c r="I14" s="12"/>
      <c r="J14" s="12"/>
      <c r="K14" s="40"/>
    </row>
    <row r="15" spans="1:11" x14ac:dyDescent="0.35">
      <c r="A15" s="10" t="s">
        <v>28</v>
      </c>
      <c r="B15" s="11"/>
      <c r="C15" s="11"/>
      <c r="D15" s="23" t="s">
        <v>75</v>
      </c>
      <c r="E15" s="12"/>
      <c r="F15" s="12">
        <v>1200</v>
      </c>
      <c r="G15" s="38"/>
      <c r="H15" s="12"/>
      <c r="I15" s="12"/>
      <c r="J15" s="12"/>
      <c r="K15" s="40"/>
    </row>
    <row r="16" spans="1:11" x14ac:dyDescent="0.35">
      <c r="A16" s="10" t="s">
        <v>29</v>
      </c>
      <c r="B16" s="11"/>
      <c r="C16" s="11"/>
      <c r="D16" s="11"/>
      <c r="E16" s="11"/>
      <c r="F16" s="11">
        <v>1300</v>
      </c>
      <c r="G16" s="10"/>
      <c r="H16" s="11"/>
      <c r="I16" s="12"/>
      <c r="J16" s="12"/>
      <c r="K16" s="40"/>
    </row>
    <row r="17" spans="1:11" x14ac:dyDescent="0.35">
      <c r="A17" s="10" t="s">
        <v>30</v>
      </c>
      <c r="B17" s="11"/>
      <c r="C17" s="11"/>
      <c r="D17" s="11"/>
      <c r="E17" s="12" t="s">
        <v>110</v>
      </c>
      <c r="F17" s="12">
        <v>1150</v>
      </c>
      <c r="G17" s="38"/>
      <c r="H17" s="12"/>
      <c r="I17" s="12"/>
      <c r="J17" s="12"/>
      <c r="K17" s="40"/>
    </row>
    <row r="18" spans="1:11" x14ac:dyDescent="0.35">
      <c r="A18" s="10" t="s">
        <v>31</v>
      </c>
      <c r="B18" s="11"/>
      <c r="C18" s="11"/>
      <c r="D18" s="11"/>
      <c r="E18" s="11"/>
      <c r="F18" s="11">
        <v>550</v>
      </c>
      <c r="G18" s="10"/>
      <c r="H18" s="11"/>
      <c r="I18" s="12"/>
      <c r="J18" s="12"/>
      <c r="K18" s="40"/>
    </row>
    <row r="19" spans="1:11" x14ac:dyDescent="0.35">
      <c r="A19" s="10" t="s">
        <v>32</v>
      </c>
      <c r="B19" s="11" t="s">
        <v>54</v>
      </c>
      <c r="C19" s="11">
        <v>585872874</v>
      </c>
      <c r="D19" s="11" t="s">
        <v>53</v>
      </c>
      <c r="E19" s="11"/>
      <c r="F19" s="11">
        <v>850</v>
      </c>
      <c r="G19" s="10"/>
      <c r="H19" s="11"/>
      <c r="I19" s="12"/>
      <c r="J19" s="12"/>
    </row>
    <row r="20" spans="1:11" x14ac:dyDescent="0.35">
      <c r="A20" s="10" t="s">
        <v>33</v>
      </c>
      <c r="B20" s="11"/>
      <c r="C20" s="11"/>
      <c r="D20" s="11"/>
      <c r="E20" s="11"/>
      <c r="F20" s="11">
        <v>600</v>
      </c>
      <c r="G20" s="10"/>
      <c r="H20" s="11"/>
      <c r="I20" s="12"/>
      <c r="J20" s="12"/>
    </row>
    <row r="21" spans="1:11" x14ac:dyDescent="0.35">
      <c r="A21" s="10" t="s">
        <v>34</v>
      </c>
      <c r="B21" s="11"/>
      <c r="C21" s="11"/>
      <c r="D21" s="11"/>
      <c r="E21" s="11"/>
      <c r="F21" s="11">
        <v>500</v>
      </c>
      <c r="G21" s="10"/>
      <c r="H21" s="11"/>
      <c r="I21" s="12"/>
      <c r="J21" s="12"/>
    </row>
    <row r="22" spans="1:11" x14ac:dyDescent="0.35">
      <c r="A22" s="10" t="s">
        <v>35</v>
      </c>
      <c r="B22" s="11"/>
      <c r="C22" s="11"/>
      <c r="D22" s="11"/>
      <c r="E22" s="11"/>
      <c r="F22" s="11">
        <v>600</v>
      </c>
      <c r="G22" s="10"/>
      <c r="H22" s="11"/>
      <c r="I22" s="12"/>
      <c r="J22" s="12"/>
    </row>
    <row r="23" spans="1:11" ht="18.5" x14ac:dyDescent="0.45">
      <c r="A23" s="15"/>
      <c r="B23" s="15"/>
      <c r="C23" s="15"/>
      <c r="D23" s="15"/>
      <c r="E23" s="16" t="s">
        <v>17</v>
      </c>
      <c r="F23" s="17">
        <f>SUM(F8:F22)</f>
        <v>14800</v>
      </c>
      <c r="G23" s="10"/>
      <c r="H23" s="11"/>
      <c r="I23" s="12"/>
      <c r="J23" s="12"/>
    </row>
    <row r="25" spans="1:11" x14ac:dyDescent="0.35">
      <c r="B25" s="21">
        <v>46204</v>
      </c>
    </row>
    <row r="26" spans="1:11" ht="15.5" x14ac:dyDescent="0.35">
      <c r="B26" s="31" t="s">
        <v>67</v>
      </c>
    </row>
    <row r="28" spans="1:11" x14ac:dyDescent="0.35">
      <c r="A28" s="32" t="s">
        <v>59</v>
      </c>
      <c r="B28" s="32" t="s">
        <v>60</v>
      </c>
      <c r="C28" s="33" t="s">
        <v>68</v>
      </c>
    </row>
    <row r="29" spans="1:11" x14ac:dyDescent="0.35">
      <c r="A29" s="27" t="s">
        <v>62</v>
      </c>
      <c r="B29" s="28" t="s">
        <v>103</v>
      </c>
      <c r="C29" s="34">
        <v>400</v>
      </c>
    </row>
    <row r="30" spans="1:11" x14ac:dyDescent="0.35">
      <c r="A30" s="27" t="s">
        <v>74</v>
      </c>
      <c r="B30" s="28" t="s">
        <v>103</v>
      </c>
      <c r="C30" s="34">
        <v>150</v>
      </c>
    </row>
    <row r="31" spans="1:11" x14ac:dyDescent="0.35">
      <c r="A31" s="27" t="s">
        <v>74</v>
      </c>
      <c r="B31" s="28" t="s">
        <v>91</v>
      </c>
      <c r="C31" s="34">
        <v>30</v>
      </c>
    </row>
    <row r="32" spans="1:11" x14ac:dyDescent="0.35">
      <c r="A32" s="27" t="s">
        <v>63</v>
      </c>
      <c r="B32" s="28"/>
      <c r="C32" s="34">
        <v>138</v>
      </c>
    </row>
    <row r="33" spans="1:3" x14ac:dyDescent="0.35">
      <c r="A33" s="27" t="s">
        <v>102</v>
      </c>
      <c r="B33" s="35">
        <v>1115</v>
      </c>
      <c r="C33" s="34">
        <v>1644</v>
      </c>
    </row>
    <row r="34" spans="1:3" x14ac:dyDescent="0.35">
      <c r="A34" s="27" t="s">
        <v>64</v>
      </c>
      <c r="B34" s="28"/>
      <c r="C34" s="34"/>
    </row>
    <row r="35" spans="1:3" x14ac:dyDescent="0.35">
      <c r="A35" s="27" t="s">
        <v>69</v>
      </c>
      <c r="B35" s="28"/>
      <c r="C35" s="34"/>
    </row>
    <row r="36" spans="1:3" x14ac:dyDescent="0.35">
      <c r="A36" s="27" t="s">
        <v>70</v>
      </c>
      <c r="B36" s="28"/>
      <c r="C36" s="34"/>
    </row>
    <row r="37" spans="1:3" x14ac:dyDescent="0.35">
      <c r="A37" s="27" t="s">
        <v>65</v>
      </c>
      <c r="B37" s="28"/>
      <c r="C37" s="34"/>
    </row>
    <row r="38" spans="1:3" x14ac:dyDescent="0.35">
      <c r="A38" s="27" t="s">
        <v>66</v>
      </c>
      <c r="B38" s="28"/>
      <c r="C38" s="34"/>
    </row>
    <row r="39" spans="1:3" x14ac:dyDescent="0.35">
      <c r="A39" s="27" t="s">
        <v>71</v>
      </c>
      <c r="B39" s="28"/>
      <c r="C39" s="34"/>
    </row>
    <row r="40" spans="1:3" ht="15.5" x14ac:dyDescent="0.35">
      <c r="B40" s="36" t="s">
        <v>17</v>
      </c>
      <c r="C40" s="3">
        <f>SUM(C29:C39)</f>
        <v>2362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7"/>
  <sheetViews>
    <sheetView workbookViewId="0">
      <selection activeCell="G8" sqref="G8"/>
    </sheetView>
  </sheetViews>
  <sheetFormatPr defaultRowHeight="14.5" x14ac:dyDescent="0.35"/>
  <cols>
    <col min="1" max="1" width="13.453125" bestFit="1" customWidth="1"/>
    <col min="2" max="2" width="17.7265625" bestFit="1" customWidth="1"/>
    <col min="3" max="3" width="11.81640625" bestFit="1" customWidth="1"/>
    <col min="4" max="4" width="13.26953125" bestFit="1" customWidth="1"/>
    <col min="5" max="5" width="9.81640625" bestFit="1" customWidth="1"/>
    <col min="8" max="8" width="13.54296875" bestFit="1" customWidth="1"/>
    <col min="9" max="9" width="15.54296875" bestFit="1" customWidth="1"/>
    <col min="10" max="10" width="8.81640625" bestFit="1" customWidth="1"/>
  </cols>
  <sheetData>
    <row r="2" spans="1:10" x14ac:dyDescent="0.35">
      <c r="D2" s="37" t="s">
        <v>72</v>
      </c>
      <c r="E2" s="37">
        <f>+C37</f>
        <v>0</v>
      </c>
    </row>
    <row r="3" spans="1:10" x14ac:dyDescent="0.35">
      <c r="D3" s="37" t="s">
        <v>73</v>
      </c>
      <c r="E3" s="37">
        <f>+F17</f>
        <v>6800</v>
      </c>
    </row>
    <row r="4" spans="1:10" x14ac:dyDescent="0.35">
      <c r="B4" s="19" t="s">
        <v>0</v>
      </c>
      <c r="C4" s="19" t="s">
        <v>51</v>
      </c>
      <c r="D4" s="4"/>
      <c r="G4" s="4"/>
    </row>
    <row r="5" spans="1:10" x14ac:dyDescent="0.35">
      <c r="A5" s="5" t="s">
        <v>36</v>
      </c>
      <c r="B5" s="19" t="s">
        <v>2</v>
      </c>
      <c r="C5" s="20">
        <v>46204</v>
      </c>
      <c r="D5" s="21"/>
      <c r="G5" s="4"/>
    </row>
    <row r="6" spans="1:10" ht="15.5" x14ac:dyDescent="0.3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37</v>
      </c>
      <c r="H6" s="9" t="s">
        <v>9</v>
      </c>
      <c r="I6" s="9" t="s">
        <v>10</v>
      </c>
      <c r="J6" s="9" t="s">
        <v>11</v>
      </c>
    </row>
    <row r="7" spans="1:10" x14ac:dyDescent="0.35">
      <c r="A7" s="10" t="s">
        <v>21</v>
      </c>
      <c r="B7" s="11"/>
      <c r="C7" s="11"/>
      <c r="D7" s="11"/>
      <c r="E7" s="11"/>
      <c r="F7" s="11"/>
      <c r="G7" s="10"/>
      <c r="H7" s="22"/>
      <c r="I7" s="12"/>
      <c r="J7" s="12"/>
    </row>
    <row r="8" spans="1:10" x14ac:dyDescent="0.35">
      <c r="A8" s="10" t="s">
        <v>22</v>
      </c>
      <c r="B8" s="11"/>
      <c r="C8" s="11"/>
      <c r="D8" s="11"/>
      <c r="E8" s="11"/>
      <c r="F8" s="11">
        <v>1200</v>
      </c>
      <c r="G8" s="10"/>
      <c r="H8" s="22"/>
      <c r="I8" s="12"/>
      <c r="J8" s="12"/>
    </row>
    <row r="9" spans="1:10" x14ac:dyDescent="0.35">
      <c r="A9" s="10" t="s">
        <v>23</v>
      </c>
      <c r="B9" s="11"/>
      <c r="C9" s="11"/>
      <c r="D9" s="11"/>
      <c r="E9" s="11">
        <v>200</v>
      </c>
      <c r="F9" s="11"/>
      <c r="G9" s="10"/>
      <c r="H9" s="22"/>
      <c r="I9" s="12"/>
      <c r="J9" s="12" t="s">
        <v>77</v>
      </c>
    </row>
    <row r="10" spans="1:10" x14ac:dyDescent="0.35">
      <c r="A10" s="10" t="s">
        <v>24</v>
      </c>
      <c r="B10" s="11"/>
      <c r="C10" s="11"/>
      <c r="D10" s="11"/>
      <c r="E10" s="11"/>
      <c r="F10" s="11"/>
      <c r="G10" s="10"/>
      <c r="H10" s="12"/>
      <c r="I10" s="12"/>
      <c r="J10" s="12"/>
    </row>
    <row r="11" spans="1:10" x14ac:dyDescent="0.35">
      <c r="A11" s="10" t="s">
        <v>25</v>
      </c>
      <c r="B11" s="11"/>
      <c r="C11" s="11"/>
      <c r="D11" s="11"/>
      <c r="E11" s="11"/>
      <c r="F11" s="11"/>
      <c r="G11" s="10"/>
      <c r="H11" s="12"/>
      <c r="I11" s="12"/>
      <c r="J11" s="12"/>
    </row>
    <row r="12" spans="1:10" x14ac:dyDescent="0.35">
      <c r="A12" s="10" t="s">
        <v>26</v>
      </c>
      <c r="B12" s="11" t="s">
        <v>55</v>
      </c>
      <c r="C12" s="11">
        <v>582944061</v>
      </c>
      <c r="D12" s="10"/>
      <c r="E12" s="11"/>
      <c r="F12" s="11"/>
      <c r="G12" s="10"/>
      <c r="H12" s="12"/>
      <c r="I12" s="12"/>
      <c r="J12" s="12"/>
    </row>
    <row r="13" spans="1:10" x14ac:dyDescent="0.35">
      <c r="A13" s="10" t="s">
        <v>27</v>
      </c>
      <c r="B13" s="11"/>
      <c r="C13" s="11"/>
      <c r="D13" s="11"/>
      <c r="E13" s="11"/>
      <c r="F13" s="11">
        <v>1400</v>
      </c>
      <c r="G13" s="10"/>
      <c r="H13" s="22"/>
      <c r="I13" s="12"/>
      <c r="J13" s="12" t="s">
        <v>88</v>
      </c>
    </row>
    <row r="14" spans="1:10" x14ac:dyDescent="0.35">
      <c r="A14" s="10" t="s">
        <v>28</v>
      </c>
      <c r="B14" s="11"/>
      <c r="C14" s="11"/>
      <c r="D14" s="11"/>
      <c r="E14" s="11"/>
      <c r="F14" s="11">
        <v>1400</v>
      </c>
      <c r="G14" s="10"/>
      <c r="H14" s="22"/>
      <c r="I14" s="12"/>
      <c r="J14" s="12" t="s">
        <v>87</v>
      </c>
    </row>
    <row r="15" spans="1:10" x14ac:dyDescent="0.35">
      <c r="A15" s="10" t="s">
        <v>29</v>
      </c>
      <c r="B15" s="11"/>
      <c r="C15" s="11"/>
      <c r="D15" s="11"/>
      <c r="E15" s="11"/>
      <c r="F15" s="11">
        <v>1400</v>
      </c>
      <c r="G15" s="10"/>
      <c r="H15" s="22"/>
      <c r="I15" s="12"/>
      <c r="J15" s="12"/>
    </row>
    <row r="16" spans="1:10" x14ac:dyDescent="0.35">
      <c r="A16" s="10" t="s">
        <v>52</v>
      </c>
      <c r="B16" s="11"/>
      <c r="C16" s="11"/>
      <c r="D16" s="11"/>
      <c r="E16" s="23"/>
      <c r="F16" s="11">
        <v>1400</v>
      </c>
      <c r="G16" s="10"/>
      <c r="H16" s="23" t="s">
        <v>83</v>
      </c>
      <c r="I16" s="12" t="s">
        <v>85</v>
      </c>
      <c r="J16" s="12" t="s">
        <v>84</v>
      </c>
    </row>
    <row r="17" spans="1:10" ht="18.5" x14ac:dyDescent="0.45">
      <c r="A17" s="14"/>
      <c r="B17" s="15"/>
      <c r="C17" s="15"/>
      <c r="D17" s="15"/>
      <c r="E17" s="16" t="s">
        <v>17</v>
      </c>
      <c r="F17" s="17">
        <f>SUM(F7:F16)</f>
        <v>6800</v>
      </c>
      <c r="G17" s="10"/>
      <c r="H17" s="22"/>
      <c r="I17" s="12"/>
      <c r="J1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6"/>
  <sheetViews>
    <sheetView topLeftCell="A9" workbookViewId="0">
      <selection activeCell="H4" sqref="H4"/>
    </sheetView>
  </sheetViews>
  <sheetFormatPr defaultRowHeight="14.5" x14ac:dyDescent="0.35"/>
  <cols>
    <col min="1" max="1" width="13.453125" bestFit="1" customWidth="1"/>
    <col min="2" max="2" width="17.7265625" bestFit="1" customWidth="1"/>
    <col min="3" max="3" width="11.81640625" bestFit="1" customWidth="1"/>
    <col min="4" max="4" width="13.26953125" bestFit="1" customWidth="1"/>
    <col min="5" max="5" width="9.81640625" style="4" bestFit="1" customWidth="1"/>
    <col min="7" max="7" width="10.1796875" customWidth="1"/>
    <col min="8" max="8" width="13.54296875" bestFit="1" customWidth="1"/>
    <col min="9" max="9" width="15.54296875" bestFit="1" customWidth="1"/>
    <col min="10" max="10" width="19" bestFit="1" customWidth="1"/>
  </cols>
  <sheetData>
    <row r="2" spans="1:10" x14ac:dyDescent="0.35">
      <c r="D2" s="37" t="s">
        <v>72</v>
      </c>
      <c r="E2" s="42">
        <f>+C37</f>
        <v>0</v>
      </c>
    </row>
    <row r="3" spans="1:10" x14ac:dyDescent="0.35">
      <c r="D3" s="37" t="s">
        <v>73</v>
      </c>
      <c r="E3" s="42">
        <f>+F26</f>
        <v>14900</v>
      </c>
    </row>
    <row r="4" spans="1:10" x14ac:dyDescent="0.35">
      <c r="B4" s="19" t="s">
        <v>0</v>
      </c>
      <c r="C4" s="19" t="s">
        <v>51</v>
      </c>
      <c r="D4" s="4"/>
      <c r="G4" s="4"/>
    </row>
    <row r="5" spans="1:10" x14ac:dyDescent="0.35">
      <c r="A5" s="5" t="s">
        <v>38</v>
      </c>
      <c r="B5" s="19" t="s">
        <v>2</v>
      </c>
      <c r="C5" s="20">
        <v>46204</v>
      </c>
      <c r="D5" s="21"/>
      <c r="G5" s="4"/>
    </row>
    <row r="6" spans="1:10" ht="15.5" x14ac:dyDescent="0.3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20</v>
      </c>
      <c r="H6" s="9" t="s">
        <v>9</v>
      </c>
      <c r="I6" s="9" t="s">
        <v>10</v>
      </c>
      <c r="J6" s="9" t="s">
        <v>11</v>
      </c>
    </row>
    <row r="7" spans="1:10" x14ac:dyDescent="0.35">
      <c r="A7" s="10" t="s">
        <v>21</v>
      </c>
      <c r="B7" s="11"/>
      <c r="C7" s="11"/>
      <c r="D7" s="11"/>
      <c r="E7" s="10">
        <v>250</v>
      </c>
      <c r="F7" s="11">
        <v>1500</v>
      </c>
      <c r="G7" s="10">
        <v>150</v>
      </c>
      <c r="H7" s="22"/>
      <c r="I7" s="12"/>
      <c r="J7" s="12"/>
    </row>
    <row r="8" spans="1:10" x14ac:dyDescent="0.35">
      <c r="A8" s="10" t="s">
        <v>22</v>
      </c>
      <c r="B8" s="11"/>
      <c r="C8" s="11"/>
      <c r="D8" s="11"/>
      <c r="E8" s="10"/>
      <c r="F8" s="11">
        <v>1000</v>
      </c>
      <c r="G8" s="10"/>
      <c r="H8" s="22"/>
      <c r="I8" s="12"/>
      <c r="J8" s="12"/>
    </row>
    <row r="9" spans="1:10" x14ac:dyDescent="0.35">
      <c r="A9" s="10" t="s">
        <v>23</v>
      </c>
      <c r="B9" s="11"/>
      <c r="C9" s="11"/>
      <c r="D9" s="11"/>
      <c r="E9" s="10"/>
      <c r="F9" s="11">
        <v>1500</v>
      </c>
      <c r="G9" s="10"/>
      <c r="H9" s="22"/>
      <c r="I9" s="12"/>
      <c r="J9" s="12"/>
    </row>
    <row r="10" spans="1:10" x14ac:dyDescent="0.35">
      <c r="A10" s="45" t="s">
        <v>24</v>
      </c>
      <c r="B10" s="46"/>
      <c r="C10" s="46"/>
      <c r="D10" s="46"/>
      <c r="E10" s="45"/>
      <c r="F10" s="46">
        <v>1400</v>
      </c>
      <c r="G10" s="45">
        <v>100</v>
      </c>
      <c r="H10" s="12"/>
      <c r="I10" s="12"/>
      <c r="J10" s="12"/>
    </row>
    <row r="11" spans="1:10" x14ac:dyDescent="0.35">
      <c r="A11" s="10" t="s">
        <v>25</v>
      </c>
      <c r="B11" s="11"/>
      <c r="C11" s="11"/>
      <c r="D11" s="11"/>
      <c r="E11" s="24"/>
      <c r="F11" s="11"/>
      <c r="G11" s="10"/>
      <c r="H11" s="12"/>
      <c r="I11" s="12"/>
      <c r="J11" s="12"/>
    </row>
    <row r="12" spans="1:10" x14ac:dyDescent="0.35">
      <c r="A12" s="10" t="s">
        <v>26</v>
      </c>
      <c r="B12" s="11"/>
      <c r="C12" s="11"/>
      <c r="D12" s="11"/>
      <c r="E12" s="10"/>
      <c r="F12" s="11">
        <v>1500</v>
      </c>
      <c r="G12" s="10"/>
      <c r="H12" s="12"/>
      <c r="I12" s="12"/>
      <c r="J12" s="12"/>
    </row>
    <row r="13" spans="1:10" x14ac:dyDescent="0.35">
      <c r="A13" s="10" t="s">
        <v>39</v>
      </c>
      <c r="B13" s="11"/>
      <c r="C13" s="11"/>
      <c r="D13" s="11"/>
      <c r="E13" s="10"/>
      <c r="F13" s="11">
        <v>1500</v>
      </c>
      <c r="G13" s="10"/>
      <c r="H13" s="22"/>
      <c r="I13" s="12"/>
      <c r="J13" s="13"/>
    </row>
    <row r="14" spans="1:10" x14ac:dyDescent="0.35">
      <c r="A14" s="10" t="s">
        <v>28</v>
      </c>
      <c r="B14" s="11"/>
      <c r="C14" s="11"/>
      <c r="D14" s="11"/>
      <c r="E14" s="10"/>
      <c r="F14" s="11"/>
      <c r="G14" s="10"/>
      <c r="H14" s="22"/>
      <c r="I14" s="12"/>
      <c r="J14" s="12" t="s">
        <v>109</v>
      </c>
    </row>
    <row r="15" spans="1:10" x14ac:dyDescent="0.35">
      <c r="A15" s="10" t="s">
        <v>29</v>
      </c>
      <c r="B15" s="11"/>
      <c r="C15" s="11"/>
      <c r="D15" s="11"/>
      <c r="E15" s="10"/>
      <c r="F15" s="11">
        <v>900</v>
      </c>
      <c r="G15" s="10"/>
      <c r="H15" s="22"/>
      <c r="I15" s="12"/>
      <c r="J15" s="12" t="s">
        <v>86</v>
      </c>
    </row>
    <row r="16" spans="1:10" x14ac:dyDescent="0.35">
      <c r="A16" s="10" t="s">
        <v>30</v>
      </c>
      <c r="B16" s="11"/>
      <c r="C16" s="11"/>
      <c r="D16" s="11"/>
      <c r="E16" s="10"/>
      <c r="F16" s="11"/>
      <c r="G16" s="10"/>
      <c r="H16" s="22"/>
      <c r="I16" s="12"/>
      <c r="J16" s="12" t="s">
        <v>89</v>
      </c>
    </row>
    <row r="17" spans="1:10" x14ac:dyDescent="0.35">
      <c r="A17" s="10" t="s">
        <v>40</v>
      </c>
      <c r="B17" s="11"/>
      <c r="C17" s="11"/>
      <c r="D17" s="11"/>
      <c r="E17" s="10" t="s">
        <v>57</v>
      </c>
      <c r="F17" s="11">
        <v>1300</v>
      </c>
      <c r="G17" s="10"/>
      <c r="H17" s="22"/>
      <c r="I17" s="12"/>
      <c r="J17" s="12"/>
    </row>
    <row r="18" spans="1:10" x14ac:dyDescent="0.35">
      <c r="A18" s="10" t="s">
        <v>41</v>
      </c>
      <c r="B18" s="11"/>
      <c r="C18" s="11"/>
      <c r="D18" s="11"/>
      <c r="E18" s="10"/>
      <c r="F18" s="11">
        <v>1500</v>
      </c>
      <c r="G18" s="10"/>
      <c r="H18" s="22"/>
      <c r="I18" s="12"/>
      <c r="J18" s="12"/>
    </row>
    <row r="19" spans="1:10" x14ac:dyDescent="0.35">
      <c r="A19" s="10" t="s">
        <v>42</v>
      </c>
      <c r="B19" s="11"/>
      <c r="C19" s="11"/>
      <c r="D19" s="11"/>
      <c r="E19" s="10">
        <v>300</v>
      </c>
      <c r="F19" s="11">
        <v>1100</v>
      </c>
      <c r="G19" s="10"/>
      <c r="H19" s="22" t="s">
        <v>78</v>
      </c>
      <c r="I19" s="12"/>
      <c r="J19" s="12"/>
    </row>
    <row r="20" spans="1:10" x14ac:dyDescent="0.35">
      <c r="A20" s="10" t="s">
        <v>43</v>
      </c>
      <c r="B20" s="11"/>
      <c r="C20" s="11"/>
      <c r="D20" s="11"/>
      <c r="E20" s="10" t="s">
        <v>57</v>
      </c>
      <c r="F20" s="11"/>
      <c r="G20" s="10"/>
      <c r="H20" s="22"/>
      <c r="I20" s="12"/>
      <c r="J20" s="12"/>
    </row>
    <row r="21" spans="1:10" x14ac:dyDescent="0.35">
      <c r="A21" s="10" t="s">
        <v>44</v>
      </c>
      <c r="B21" s="11"/>
      <c r="C21" s="11"/>
      <c r="D21" s="11"/>
      <c r="E21" s="10" t="s">
        <v>57</v>
      </c>
      <c r="F21" s="11"/>
      <c r="G21" s="10"/>
      <c r="H21" s="22"/>
      <c r="I21" s="12"/>
      <c r="J21" s="12"/>
    </row>
    <row r="22" spans="1:10" x14ac:dyDescent="0.35">
      <c r="A22" s="10" t="s">
        <v>45</v>
      </c>
      <c r="B22" s="11"/>
      <c r="C22" s="11"/>
      <c r="D22" s="11"/>
      <c r="E22" s="10">
        <v>200</v>
      </c>
      <c r="F22" s="11"/>
      <c r="G22" s="10"/>
      <c r="H22" s="22"/>
      <c r="I22" s="12"/>
      <c r="J22" s="12" t="s">
        <v>81</v>
      </c>
    </row>
    <row r="23" spans="1:10" x14ac:dyDescent="0.35">
      <c r="A23" s="10" t="s">
        <v>46</v>
      </c>
      <c r="B23" s="11"/>
      <c r="C23" s="11"/>
      <c r="D23" s="11"/>
      <c r="E23" s="10"/>
      <c r="F23" s="11">
        <v>600</v>
      </c>
      <c r="G23" s="10"/>
      <c r="H23" s="22"/>
      <c r="I23" s="12"/>
      <c r="J23" s="12"/>
    </row>
    <row r="24" spans="1:10" x14ac:dyDescent="0.35">
      <c r="A24" s="10" t="s">
        <v>47</v>
      </c>
      <c r="B24" s="11"/>
      <c r="C24" s="11"/>
      <c r="D24" s="11"/>
      <c r="E24" s="10"/>
      <c r="F24" s="11">
        <v>500</v>
      </c>
      <c r="G24" s="10"/>
      <c r="H24" s="22"/>
      <c r="I24" s="12"/>
      <c r="J24" s="12"/>
    </row>
    <row r="25" spans="1:10" x14ac:dyDescent="0.35">
      <c r="A25" s="10" t="s">
        <v>48</v>
      </c>
      <c r="B25" s="11"/>
      <c r="C25" s="11"/>
      <c r="D25" s="11"/>
      <c r="E25" s="10">
        <v>100</v>
      </c>
      <c r="F25" s="11">
        <v>600</v>
      </c>
      <c r="G25" s="24"/>
      <c r="H25" s="22" t="s">
        <v>76</v>
      </c>
      <c r="I25" s="12"/>
      <c r="J25" s="12"/>
    </row>
    <row r="26" spans="1:10" ht="18.5" x14ac:dyDescent="0.45">
      <c r="A26" s="14"/>
      <c r="B26" s="15"/>
      <c r="C26" s="15"/>
      <c r="D26" s="15"/>
      <c r="E26" s="43" t="s">
        <v>17</v>
      </c>
      <c r="F26" s="17">
        <f>SUM(F7:F25)</f>
        <v>14900</v>
      </c>
      <c r="G26" s="10"/>
      <c r="H26" s="22"/>
      <c r="I26" s="12"/>
      <c r="J26" s="12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1"/>
  <sheetViews>
    <sheetView topLeftCell="A4" workbookViewId="0">
      <selection activeCell="D9" sqref="D9"/>
    </sheetView>
  </sheetViews>
  <sheetFormatPr defaultRowHeight="14.5" x14ac:dyDescent="0.35"/>
  <cols>
    <col min="1" max="1" width="13.453125" bestFit="1" customWidth="1"/>
    <col min="2" max="2" width="18.81640625" bestFit="1" customWidth="1"/>
    <col min="3" max="3" width="11.81640625" bestFit="1" customWidth="1"/>
    <col min="4" max="4" width="13.26953125" bestFit="1" customWidth="1"/>
    <col min="5" max="5" width="9.81640625" bestFit="1" customWidth="1"/>
    <col min="6" max="6" width="7.453125" bestFit="1" customWidth="1"/>
    <col min="7" max="7" width="8" customWidth="1"/>
    <col min="8" max="8" width="13.54296875" bestFit="1" customWidth="1"/>
    <col min="9" max="9" width="15.54296875" bestFit="1" customWidth="1"/>
    <col min="10" max="10" width="8.81640625" bestFit="1" customWidth="1"/>
    <col min="11" max="11" width="9.1796875" style="40"/>
  </cols>
  <sheetData>
    <row r="2" spans="1:10" x14ac:dyDescent="0.35">
      <c r="D2" s="37" t="s">
        <v>72</v>
      </c>
      <c r="E2" s="37"/>
    </row>
    <row r="3" spans="1:10" x14ac:dyDescent="0.35">
      <c r="D3" s="37" t="s">
        <v>73</v>
      </c>
      <c r="E3" s="37">
        <f>+F21</f>
        <v>10800</v>
      </c>
    </row>
    <row r="4" spans="1:10" x14ac:dyDescent="0.35">
      <c r="B4" s="19" t="s">
        <v>0</v>
      </c>
      <c r="C4" s="19" t="s">
        <v>51</v>
      </c>
      <c r="D4" s="4"/>
      <c r="G4" s="4"/>
    </row>
    <row r="5" spans="1:10" x14ac:dyDescent="0.35">
      <c r="A5" s="5" t="s">
        <v>49</v>
      </c>
      <c r="B5" s="19" t="s">
        <v>2</v>
      </c>
      <c r="C5" s="20">
        <v>46204</v>
      </c>
      <c r="D5" s="21"/>
      <c r="G5" s="4"/>
    </row>
    <row r="6" spans="1:10" ht="15.5" x14ac:dyDescent="0.3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37</v>
      </c>
      <c r="H6" s="9" t="s">
        <v>9</v>
      </c>
      <c r="I6" s="9" t="s">
        <v>10</v>
      </c>
      <c r="J6" s="9" t="s">
        <v>11</v>
      </c>
    </row>
    <row r="7" spans="1:10" x14ac:dyDescent="0.35">
      <c r="A7" s="10" t="s">
        <v>21</v>
      </c>
      <c r="B7" s="11"/>
      <c r="C7" s="11"/>
      <c r="D7" s="11"/>
      <c r="E7" s="11"/>
      <c r="F7" s="11"/>
      <c r="G7" s="10"/>
      <c r="H7" s="22"/>
      <c r="I7" s="12"/>
      <c r="J7" s="12"/>
    </row>
    <row r="8" spans="1:10" x14ac:dyDescent="0.35">
      <c r="A8" s="10" t="s">
        <v>22</v>
      </c>
      <c r="B8" s="11"/>
      <c r="C8" s="11"/>
      <c r="D8" s="11"/>
      <c r="E8" s="11"/>
      <c r="F8" s="11">
        <v>1300</v>
      </c>
      <c r="G8" s="10"/>
      <c r="H8" s="22"/>
      <c r="I8" s="12"/>
      <c r="J8" s="12" t="s">
        <v>87</v>
      </c>
    </row>
    <row r="9" spans="1:10" x14ac:dyDescent="0.35">
      <c r="A9" s="10" t="s">
        <v>23</v>
      </c>
      <c r="B9" s="11"/>
      <c r="C9" s="11"/>
      <c r="D9" s="11"/>
      <c r="E9" s="11"/>
      <c r="F9" s="11">
        <v>1350</v>
      </c>
      <c r="G9" s="10"/>
      <c r="H9" s="22"/>
      <c r="I9" s="12"/>
      <c r="J9" s="12"/>
    </row>
    <row r="10" spans="1:10" x14ac:dyDescent="0.35">
      <c r="A10" s="10" t="s">
        <v>24</v>
      </c>
      <c r="B10" s="11"/>
      <c r="C10" s="11"/>
      <c r="D10" s="11"/>
      <c r="E10" s="11">
        <v>200</v>
      </c>
      <c r="F10" s="11">
        <v>1200</v>
      </c>
      <c r="G10" s="10"/>
      <c r="H10" s="12"/>
      <c r="I10" s="12"/>
      <c r="J10" s="12" t="s">
        <v>80</v>
      </c>
    </row>
    <row r="11" spans="1:10" x14ac:dyDescent="0.35">
      <c r="A11" s="10" t="s">
        <v>25</v>
      </c>
      <c r="B11" s="11"/>
      <c r="C11" s="11"/>
      <c r="D11" s="11"/>
      <c r="E11" s="11" t="s">
        <v>57</v>
      </c>
      <c r="F11" s="11"/>
      <c r="G11" s="10"/>
      <c r="H11" s="12"/>
      <c r="I11" s="12"/>
      <c r="J11" s="12"/>
    </row>
    <row r="12" spans="1:10" x14ac:dyDescent="0.35">
      <c r="A12" s="10" t="s">
        <v>26</v>
      </c>
      <c r="B12" s="11"/>
      <c r="C12" s="11"/>
      <c r="D12" s="11"/>
      <c r="E12" s="11"/>
      <c r="F12" s="11">
        <v>1500</v>
      </c>
      <c r="G12" s="10"/>
      <c r="H12" s="12"/>
      <c r="I12" s="12"/>
      <c r="J12" s="12" t="s">
        <v>104</v>
      </c>
    </row>
    <row r="13" spans="1:10" x14ac:dyDescent="0.35">
      <c r="A13" s="10" t="s">
        <v>27</v>
      </c>
      <c r="B13" s="11"/>
      <c r="C13" s="11"/>
      <c r="D13" s="11" t="s">
        <v>93</v>
      </c>
      <c r="E13" s="10"/>
      <c r="F13" s="11">
        <v>850</v>
      </c>
      <c r="G13" s="10"/>
      <c r="H13" s="22" t="s">
        <v>76</v>
      </c>
      <c r="I13" s="12"/>
      <c r="J13" s="12" t="s">
        <v>92</v>
      </c>
    </row>
    <row r="14" spans="1:10" x14ac:dyDescent="0.35">
      <c r="A14" s="10" t="s">
        <v>28</v>
      </c>
      <c r="B14" s="11"/>
      <c r="C14" s="11"/>
      <c r="D14" s="11"/>
      <c r="E14" s="11">
        <v>200</v>
      </c>
      <c r="F14" s="11">
        <v>1000</v>
      </c>
      <c r="G14" s="10"/>
      <c r="H14" s="22" t="s">
        <v>82</v>
      </c>
      <c r="I14" s="12"/>
      <c r="J14" s="12" t="s">
        <v>111</v>
      </c>
    </row>
    <row r="15" spans="1:10" x14ac:dyDescent="0.35">
      <c r="A15" s="10" t="s">
        <v>29</v>
      </c>
      <c r="B15" s="11"/>
      <c r="C15" s="11"/>
      <c r="D15" s="11"/>
      <c r="E15" s="11">
        <v>200</v>
      </c>
      <c r="F15" s="11">
        <v>1000</v>
      </c>
      <c r="G15" s="10"/>
      <c r="H15" s="22" t="s">
        <v>78</v>
      </c>
      <c r="I15" s="12"/>
      <c r="J15" s="12" t="s">
        <v>79</v>
      </c>
    </row>
    <row r="16" spans="1:10" x14ac:dyDescent="0.35">
      <c r="A16" s="10" t="s">
        <v>30</v>
      </c>
      <c r="B16" s="11"/>
      <c r="C16" s="11"/>
      <c r="D16" s="11"/>
      <c r="E16" s="11"/>
      <c r="F16" s="12">
        <v>500</v>
      </c>
      <c r="G16" s="38"/>
      <c r="H16" s="41" t="s">
        <v>100</v>
      </c>
      <c r="I16" s="12"/>
      <c r="J16" s="12"/>
    </row>
    <row r="17" spans="1:10" x14ac:dyDescent="0.35">
      <c r="A17" s="10" t="s">
        <v>13</v>
      </c>
      <c r="B17" s="11"/>
      <c r="C17" s="11"/>
      <c r="D17" s="11"/>
      <c r="E17" s="11"/>
      <c r="F17" s="11">
        <v>700</v>
      </c>
      <c r="G17" s="10"/>
      <c r="H17" s="22"/>
      <c r="I17" s="12"/>
      <c r="J17" s="12"/>
    </row>
    <row r="18" spans="1:10" x14ac:dyDescent="0.35">
      <c r="A18" s="10" t="s">
        <v>14</v>
      </c>
      <c r="B18" s="11"/>
      <c r="C18" s="11"/>
      <c r="D18" s="11"/>
      <c r="E18" s="11"/>
      <c r="F18" s="11">
        <v>600</v>
      </c>
      <c r="G18" s="10"/>
      <c r="H18" s="22"/>
      <c r="I18" s="12"/>
      <c r="J18" s="12"/>
    </row>
    <row r="19" spans="1:10" x14ac:dyDescent="0.35">
      <c r="A19" s="10" t="s">
        <v>15</v>
      </c>
      <c r="B19" s="11"/>
      <c r="C19" s="11"/>
      <c r="D19" s="11"/>
      <c r="E19" s="11"/>
      <c r="F19" s="11">
        <v>800</v>
      </c>
      <c r="G19" s="10"/>
      <c r="H19" s="22"/>
      <c r="I19" s="12"/>
      <c r="J19" s="12"/>
    </row>
    <row r="20" spans="1:10" x14ac:dyDescent="0.35">
      <c r="A20" s="10" t="s">
        <v>16</v>
      </c>
      <c r="B20" s="11"/>
      <c r="C20" s="11"/>
      <c r="D20" s="11"/>
      <c r="E20" s="11" t="s">
        <v>50</v>
      </c>
      <c r="F20" s="11"/>
      <c r="G20" s="10"/>
      <c r="H20" s="22"/>
      <c r="I20" s="12"/>
      <c r="J20" s="12"/>
    </row>
    <row r="21" spans="1:10" ht="18.5" x14ac:dyDescent="0.45">
      <c r="A21" s="14"/>
      <c r="B21" s="15"/>
      <c r="C21" s="15"/>
      <c r="D21" s="15"/>
      <c r="E21" s="16" t="s">
        <v>17</v>
      </c>
      <c r="F21" s="17">
        <f>SUM(F7:F20)</f>
        <v>10800</v>
      </c>
      <c r="G21" s="10"/>
      <c r="H21" s="22"/>
      <c r="I21" s="12"/>
      <c r="J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607</vt:lpstr>
      <vt:lpstr>1115</vt:lpstr>
      <vt:lpstr>1215</vt:lpstr>
      <vt:lpstr>1705</vt:lpstr>
      <vt:lpstr>1708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2026-04-21T14:00:05Z</dcterms:created>
  <dcterms:modified xsi:type="dcterms:W3CDTF">2026-08-31T20:26:56Z</dcterms:modified>
</cp:coreProperties>
</file>